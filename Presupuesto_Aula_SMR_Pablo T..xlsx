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<sst xmlns="http://schemas.openxmlformats.org/spreadsheetml/2006/main" count="17" uniqueCount="17">
  <si>
    <t xml:space="preserve">ID Componente</t>
  </si>
  <si>
    <t>Descripcion</t>
  </si>
  <si>
    <t>Cantidad</t>
  </si>
  <si>
    <t>Precio</t>
  </si>
  <si>
    <t>Subtotal</t>
  </si>
  <si>
    <t>IVA(21%)</t>
  </si>
  <si>
    <t>TOTAL</t>
  </si>
  <si>
    <t xml:space="preserve">Placa Base</t>
  </si>
  <si>
    <t xml:space="preserve">RAM 16 GB</t>
  </si>
  <si>
    <t xml:space="preserve">SSD 1 TB</t>
  </si>
  <si>
    <t>Monitor</t>
  </si>
  <si>
    <t xml:space="preserve">Targeta grafica RTX</t>
  </si>
  <si>
    <t xml:space="preserve">Procesador Intel</t>
  </si>
  <si>
    <t xml:space="preserve">Fuente 700 W</t>
  </si>
  <si>
    <t xml:space="preserve">Pasta Termica</t>
  </si>
  <si>
    <t>Raton</t>
  </si>
  <si>
    <t xml:space="preserve">Teclado Mecanica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</si>
</sst>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.00\ [$€-A]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1" numFmtId="0" xfId="0" applyBorder="1" applyAlignment="1">
      <alignment horizontal="center"/>
    </xf>
    <xf fontId="0" fillId="0" borderId="1" numFmtId="164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a1" ref="$A$1:$G$11">
  <autoFilter ref="$A$1:$G$11"/>
  <tableColumns count="7">
    <tableColumn id="1" name="ID Componente"/>
    <tableColumn id="2" name="Descripcion"/>
    <tableColumn id="3" name="Cantidad"/>
    <tableColumn id="4" name="Precio"/>
    <tableColumn id="5" name="Subtotal"/>
    <tableColumn id="6" name="IVA(21%)"/>
    <tableColumn id="7" name="TOTAL"/>
  </tableColumns>
  <tableStyleInfo name="TableStyleLight19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customWidth="1" min="1" max="1" width="16.7109375"/>
    <col customWidth="1" min="2" max="2" width="18.28125"/>
    <col bestFit="1" min="3" max="3" width="11.00390625"/>
    <col bestFit="1" min="5" max="5" width="10.57421875"/>
    <col bestFit="1" min="6" max="6" width="11.28125"/>
    <col customWidth="1" min="7" max="7" width="14.710937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>
      <c r="A2" s="1">
        <v>1</v>
      </c>
      <c r="B2" s="1" t="s">
        <v>7</v>
      </c>
      <c r="C2" s="1">
        <v>12</v>
      </c>
      <c r="D2" s="2">
        <v>120</v>
      </c>
      <c r="E2" s="2">
        <f>Tabla1[[#This Row],[Cantidad]]*Tabla1[[#This Row],[Precio]]</f>
        <v>1440</v>
      </c>
      <c r="F2" s="2">
        <f>Tabla1[[#This Row],[Subtotal]]*0.21</f>
        <v>302.39999999999998</v>
      </c>
      <c r="G2" s="2">
        <f>Tabla1[[#This Row],[Precio]]+Tabla1[[#This Row],[Subtotal]]+Tabla1[[#This Row],[IVA(21%)]]</f>
        <v>1862.4000000000001</v>
      </c>
    </row>
    <row r="3" ht="14.25">
      <c r="A3" s="1">
        <v>2</v>
      </c>
      <c r="B3" s="1" t="s">
        <v>8</v>
      </c>
      <c r="C3" s="1">
        <v>10</v>
      </c>
      <c r="D3" s="2">
        <v>200</v>
      </c>
      <c r="E3" s="2">
        <f>Tabla1[[#This Row],[Cantidad]]*Tabla1[[#This Row],[Precio]]</f>
        <v>2000</v>
      </c>
      <c r="F3" s="2">
        <f>Tabla1[[#This Row],[Subtotal]]*0.21</f>
        <v>420</v>
      </c>
      <c r="G3" s="2">
        <f>Tabla1[[#This Row],[Precio]]+Tabla1[[#This Row],[Subtotal]]+Tabla1[[#This Row],[IVA(21%)]]</f>
        <v>2620</v>
      </c>
    </row>
    <row r="4" ht="14.25">
      <c r="A4" s="1">
        <v>3</v>
      </c>
      <c r="B4" s="1" t="s">
        <v>9</v>
      </c>
      <c r="C4" s="1">
        <v>18</v>
      </c>
      <c r="D4" s="2">
        <v>150</v>
      </c>
      <c r="E4" s="2">
        <f>Tabla1[[#This Row],[Cantidad]]*Tabla1[[#This Row],[Precio]]</f>
        <v>2700</v>
      </c>
      <c r="F4" s="2">
        <f>Tabla1[[#This Row],[Subtotal]]*0.21</f>
        <v>567</v>
      </c>
      <c r="G4" s="2">
        <f>Tabla1[[#This Row],[Precio]]+Tabla1[[#This Row],[Subtotal]]+Tabla1[[#This Row],[IVA(21%)]]</f>
        <v>3417</v>
      </c>
    </row>
    <row r="5" ht="14.25">
      <c r="A5" s="1">
        <v>4</v>
      </c>
      <c r="B5" s="1" t="s">
        <v>10</v>
      </c>
      <c r="C5" s="1">
        <v>15</v>
      </c>
      <c r="D5" s="2">
        <v>230</v>
      </c>
      <c r="E5" s="2">
        <f>Tabla1[[#This Row],[Cantidad]]*Tabla1[[#This Row],[Precio]]</f>
        <v>3450</v>
      </c>
      <c r="F5" s="2">
        <f>Tabla1[[#This Row],[Subtotal]]*0.21</f>
        <v>724.5</v>
      </c>
      <c r="G5" s="2">
        <f>Tabla1[[#This Row],[Precio]]+Tabla1[[#This Row],[Subtotal]]+Tabla1[[#This Row],[IVA(21%)]]</f>
        <v>4404.5</v>
      </c>
    </row>
    <row r="6" ht="14.25">
      <c r="A6" s="1">
        <v>5</v>
      </c>
      <c r="B6" s="1" t="s">
        <v>11</v>
      </c>
      <c r="C6" s="1">
        <v>20</v>
      </c>
      <c r="D6" s="2">
        <v>400</v>
      </c>
      <c r="E6" s="2">
        <f>Tabla1[[#This Row],[Cantidad]]*Tabla1[[#This Row],[Precio]]</f>
        <v>8000</v>
      </c>
      <c r="F6" s="2">
        <f>Tabla1[[#This Row],[Subtotal]]*0.21</f>
        <v>1680</v>
      </c>
      <c r="G6" s="2">
        <f>Tabla1[[#This Row],[Precio]]+Tabla1[[#This Row],[Subtotal]]+Tabla1[[#This Row],[IVA(21%)]]</f>
        <v>10080</v>
      </c>
    </row>
    <row r="7" ht="14.25">
      <c r="A7" s="1">
        <v>6</v>
      </c>
      <c r="B7" s="1" t="s">
        <v>12</v>
      </c>
      <c r="C7" s="1">
        <v>8</v>
      </c>
      <c r="D7" s="2">
        <v>130</v>
      </c>
      <c r="E7" s="2">
        <f>Tabla1[[#This Row],[Cantidad]]*Tabla1[[#This Row],[Precio]]</f>
        <v>1040</v>
      </c>
      <c r="F7" s="2">
        <f>Tabla1[[#This Row],[Subtotal]]*0.21</f>
        <v>218.40000000000001</v>
      </c>
      <c r="G7" s="2">
        <f>Tabla1[[#This Row],[Precio]]+Tabla1[[#This Row],[Subtotal]]+Tabla1[[#This Row],[IVA(21%)]]</f>
        <v>1388.4000000000001</v>
      </c>
    </row>
    <row r="8" ht="14.25">
      <c r="A8" s="1">
        <v>7</v>
      </c>
      <c r="B8" s="1" t="s">
        <v>13</v>
      </c>
      <c r="C8" s="1">
        <v>139</v>
      </c>
      <c r="D8" s="2">
        <v>120</v>
      </c>
      <c r="E8" s="2">
        <f>Tabla1[[#This Row],[Cantidad]]*Tabla1[[#This Row],[Precio]]</f>
        <v>16680</v>
      </c>
      <c r="F8" s="2">
        <f>Tabla1[[#This Row],[Subtotal]]*0.21</f>
        <v>3502.7999999999997</v>
      </c>
      <c r="G8" s="2">
        <f>Tabla1[[#This Row],[Precio]]+Tabla1[[#This Row],[Subtotal]]+Tabla1[[#This Row],[IVA(21%)]]</f>
        <v>20302.799999999999</v>
      </c>
    </row>
    <row r="9" ht="14.25">
      <c r="A9" s="1">
        <v>8</v>
      </c>
      <c r="B9" s="1" t="s">
        <v>14</v>
      </c>
      <c r="C9" s="1">
        <v>277</v>
      </c>
      <c r="D9" s="2">
        <v>200</v>
      </c>
      <c r="E9" s="2">
        <f>Tabla1[[#This Row],[Cantidad]]*Tabla1[[#This Row],[Precio]]</f>
        <v>55400</v>
      </c>
      <c r="F9" s="2">
        <f>Tabla1[[#This Row],[Subtotal]]*0.21</f>
        <v>11634</v>
      </c>
      <c r="G9" s="2">
        <f>Tabla1[[#This Row],[Precio]]+Tabla1[[#This Row],[Subtotal]]+Tabla1[[#This Row],[IVA(21%)]]</f>
        <v>67234</v>
      </c>
    </row>
    <row r="10" ht="14.25">
      <c r="A10" s="1">
        <v>9</v>
      </c>
      <c r="B10" s="1" t="s">
        <v>15</v>
      </c>
      <c r="C10" s="1">
        <v>286</v>
      </c>
      <c r="D10" s="2">
        <v>50</v>
      </c>
      <c r="E10" s="2">
        <f>Tabla1[[#This Row],[Cantidad]]*Tabla1[[#This Row],[Precio]]</f>
        <v>14300</v>
      </c>
      <c r="F10" s="2">
        <f>Tabla1[[#This Row],[Subtotal]]*0.21</f>
        <v>3003</v>
      </c>
      <c r="G10" s="2">
        <f>Tabla1[[#This Row],[Precio]]+Tabla1[[#This Row],[Subtotal]]+Tabla1[[#This Row],[IVA(21%)]]</f>
        <v>17353</v>
      </c>
    </row>
    <row r="11" ht="14.25">
      <c r="A11" s="1">
        <v>10</v>
      </c>
      <c r="B11" s="1" t="s">
        <v>16</v>
      </c>
      <c r="C11" s="1">
        <v>305</v>
      </c>
      <c r="D11" s="2">
        <v>100</v>
      </c>
      <c r="E11" s="2">
        <f>Tabla1[[#This Row],[Cantidad]]*Tabla1[[#This Row],[Precio]]</f>
        <v>30500</v>
      </c>
      <c r="F11" s="2">
        <f>Tabla1[[#This Row],[Subtotal]]*0.21</f>
        <v>6405</v>
      </c>
      <c r="G11" s="2">
        <f>Tabla1[[#This Row],[Precio]]+Tabla1[[#This Row],[Subtotal]]+Tabla1[[#This Row],[IVA(21%)]]</f>
        <v>37005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Pablo Ronda</cp:lastModifiedBy>
  <cp:revision>3</cp:revision>
  <dcterms:modified xsi:type="dcterms:W3CDTF">2026-02-23T10:58:01Z</dcterms:modified>
</cp:coreProperties>
</file>